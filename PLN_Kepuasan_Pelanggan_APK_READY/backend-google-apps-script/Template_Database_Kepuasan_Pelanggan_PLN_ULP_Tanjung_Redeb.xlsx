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e79b3d05e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7c917fe30d349cd"/>
    <x:sheet xmlns:r="http://schemas.openxmlformats.org/officeDocument/2006/relationships" name="DATABASE_SURVEI" sheetId="2" r:id="Re1e7e9f277e54d3d"/>
    <x:sheet xmlns:r="http://schemas.openxmlformats.org/officeDocument/2006/relationships" name="REKAP_HARIAN" sheetId="3" r:id="R599f188c49144c86"/>
    <x:sheet xmlns:r="http://schemas.openxmlformats.org/officeDocument/2006/relationships" name="REKAP_BULANAN" sheetId="4" r:id="R0e2bf8fe64034408"/>
    <x:sheet xmlns:r="http://schemas.openxmlformats.org/officeDocument/2006/relationships" name="REKAP_TAHUNAN" sheetId="5" r:id="R9ae28367b22b455a"/>
    <x:sheet xmlns:r="http://schemas.openxmlformats.org/officeDocument/2006/relationships" name="PENGATURAN" sheetId="6" r:id="R9314c422b6f4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 hh:mm:ss"/>
    <x:numFmt numFmtId="201" formatCode="dd/mm/yyyy"/>
    <x:numFmt numFmtId="202" formatCode="hh:mm:ss"/>
    <x:numFmt numFmtId="203" formatCode="0.00%"/>
    <x:numFmt numFmtId="204" formatCode="0"/>
    <x:numFmt numFmtId="205" formatCode="0.0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  <x:font>
      <x:b/>
      <x:sz val="20"/>
      <x:color rgb="FFFFFFFF"/>
      <x:name val="Carlito"/>
    </x:font>
    <x:font>
      <x:i/>
      <x:sz val="11"/>
      <x:color rgb="FF6B7280"/>
      <x:name val="Carlito"/>
    </x:font>
    <x:font>
      <x:b/>
      <x:sz val="22"/>
      <x:color rgb="FF1F2937"/>
      <x:name val="Carlito"/>
    </x:font>
    <x:font>
      <x:sz val="18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072BC"/>
      </x:patternFill>
    </x:fill>
    <x:fill>
      <x:patternFill patternType="solid">
        <x:fgColor rgb="FF005B96"/>
      </x:patternFill>
    </x:fill>
    <x:fill>
      <x:patternFill patternType="solid">
        <x:fgColor rgb="FF00A9CE"/>
      </x:patternFill>
    </x:fill>
    <x:fill>
      <x:patternFill patternType="solid">
        <x:fgColor rgb="FFF5FAFD"/>
      </x:patternFill>
    </x:fill>
    <x:fill>
      <x:patternFill patternType="solid">
        <x:fgColor rgb="FFFFFFFF"/>
      </x:patternFill>
    </x:fill>
    <x:fill>
      <x:patternFill patternType="solid">
        <x:fgColor rgb="FF00A99D"/>
      </x:patternFill>
    </x:fill>
    <x:fill>
      <x:patternFill patternType="solid">
        <x:fgColor rgb="FFFDB813"/>
      </x:patternFill>
    </x:fill>
  </x:fills>
  <x:borders count="2">
    <x:border/>
    <x:border/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6" fillId="6" borderId="0" xfId="0" applyNumberFormat="1" applyFont="1" applyFill="1" applyBorder="1" applyAlignment="1">
      <x:alignment horizontal="center" vertical="center"/>
    </x:xf>
    <x:xf numFmtId="204" fontId="6" fillId="6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 vertical="center"/>
    </x:xf>
    <x:xf numFmtId="203" fontId="6" fillId="6" borderId="0" xfId="0" applyNumberFormat="1" applyFont="1" applyFill="1" applyBorder="1" applyAlignment="1">
      <x:alignment horizontal="center" vertical="center"/>
    </x:xf>
    <x:xf numFmtId="203" fontId="6" fillId="6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 vertical="center"/>
    </x:xf>
    <x:xf numFmtId="205" fontId="6" fillId="6" borderId="0" xfId="0" applyNumberFormat="1" applyFont="1" applyFill="1" applyBorder="1" applyAlignment="1">
      <x:alignment horizontal="center" vertical="center"/>
    </x:xf>
    <x:xf numFmtId="205" fontId="6" fillId="6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201" fontId="8" fillId="3" borderId="0" xfId="0" applyNumberFormat="1" applyFont="1" applyFill="1" applyBorder="1" applyAlignment="1">
      <x:alignment horizontal="center" vertical="center"/>
    </x:xf>
    <x:xf numFmtId="201" fontId="8" fillId="3" borderId="1" xfId="0" applyNumberFormat="1" applyFont="1" applyFill="1" applyBorder="1" applyAlignment="1">
      <x:alignment horizontal="center" vertical="center"/>
    </x:xf>
    <x:xf numFmtId="205" fontId="8" fillId="3" borderId="0" xfId="0" applyNumberFormat="1" applyFont="1" applyFill="1" applyBorder="1" applyAlignment="1">
      <x:alignment horizontal="center" vertical="center"/>
    </x:xf>
    <x:xf numFmtId="205" fontId="8" fillId="3" borderId="1" xfId="0" applyNumberFormat="1" applyFont="1" applyFill="1" applyBorder="1" applyAlignment="1">
      <x:alignment horizontal="center" vertical="center"/>
    </x:xf>
    <x:xf numFmtId="203" fontId="8" fillId="3" borderId="0" xfId="0" applyNumberFormat="1" applyFont="1" applyFill="1" applyBorder="1" applyAlignment="1">
      <x:alignment horizontal="center" vertical="center"/>
    </x:xf>
    <x:xf numFmtId="203" fontId="8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E74C3C"/>
      </x:font>
      <x:fill>
        <x:patternFill patternType="solid">
          <x:bgColor rgb="FFFDECEC"/>
        </x:patternFill>
      </x:fill>
    </x:dxf>
    <x:dxf>
      <x:font>
        <x:b/>
        <x:color rgb="FFF39C12"/>
      </x:font>
      <x:fill>
        <x:patternFill patternType="solid">
          <x:bgColor rgb="FF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e9caa432341d6" /><Relationship Type="http://schemas.openxmlformats.org/officeDocument/2006/relationships/theme" Target="/xl/theme/theme1.xml" Id="R4499a9e30c3141a4" /><Relationship Type="http://schemas.openxmlformats.org/officeDocument/2006/relationships/sharedStrings" Target="/xl/sharedStrings.xml" Id="Rcbaef2910f034ad1" /><Relationship Type="http://schemas.openxmlformats.org/officeDocument/2006/relationships/worksheet" Target="/xl/worksheets/sheet1.xml" Id="R97c917fe30d349cd" /><Relationship Type="http://schemas.openxmlformats.org/officeDocument/2006/relationships/worksheet" Target="/xl/worksheets/sheet2.xml" Id="Re1e7e9f277e54d3d" /><Relationship Type="http://schemas.openxmlformats.org/officeDocument/2006/relationships/worksheet" Target="/xl/worksheets/sheet3.xml" Id="R599f188c49144c86" /><Relationship Type="http://schemas.openxmlformats.org/officeDocument/2006/relationships/worksheet" Target="/xl/worksheets/sheet4.xml" Id="R0e2bf8fe64034408" /><Relationship Type="http://schemas.openxmlformats.org/officeDocument/2006/relationships/worksheet" Target="/xl/worksheets/sheet5.xml" Id="R9ae28367b22b455a" /><Relationship Type="http://schemas.openxmlformats.org/officeDocument/2006/relationships/worksheet" Target="/xl/worksheets/sheet6.xml" Id="R9314c422b6f44f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4aa5ee809c45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Distribusi Kepuasan Hari Ini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Jumlah</c:v>
          </c:tx>
          <c:cat>
            <c:strRef>
              <c:f>'DASHBOARD'!$H$12:$H$15</c:f>
              <c:strCache>
                <c:ptCount val="0"/>
              </c:strCache>
            </c:strRef>
          </c:cat>
          <c:val>
            <c:numRef>
              <c:f>'DASHBOARD'!$I$12:$I$15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4aa5ee809c45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dc11a635364e1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36" t="str">
        <x:v>DASHBOARD KEPUASAN PELANGGAN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3">
      <x:c r="A3" s="42" t="str">
        <x:v>PLN ULP TANJUNG REDEB • Database utama: Spreadsheet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5">
      <x:c r="A5" s="5" t="str">
        <x:v>RESPONDEN HARI INI</x:v>
      </x:c>
      <x:c r="B5" s="5"/>
      <x:c r="C5" s="5"/>
      <x:c r="D5" s="56" t="str">
        <x:v>RESPONDEN BULAN INI</x:v>
      </x:c>
      <x:c r="E5" s="56"/>
      <x:c r="F5" s="56"/>
      <x:c r="G5" s="61" t="str">
        <x:v>KEPUASAN HARI INI</x:v>
      </x:c>
      <x:c r="H5" s="61"/>
      <x:c r="I5" s="61"/>
      <x:c r="J5" s="71" t="str">
        <x:v>RATA-RATA HARI INI</x:v>
      </x:c>
      <x:c r="K5" s="71"/>
      <x:c r="L5" s="71"/>
    </x:row>
    <x:row r="6">
      <x:c r="A6" s="54" t="n">
        <x:f>COUNTIFS(DATABASE_SURVEI!$C$2:$C$10000,TODAY())</x:f>
        <x:v>0</x:v>
      </x:c>
      <x:c r="B6" s="54"/>
      <x:c r="C6" s="54"/>
      <x:c r="D6" s="54" t="n">
        <x:f>COUNTIFS(DATABASE_SURVEI!$C$2:$C$10000,"&gt;="&amp;EOMONTH(TODAY(),-1)+1,DATABASE_SURVEI!$C$2:$C$10000,"&lt;="&amp;EOMONTH(TODAY(),0))</x:f>
        <x:v>0</x:v>
      </x:c>
      <x:c r="E6" s="54"/>
      <x:c r="F6" s="54"/>
      <x:c r="G6" s="66" t="n">
        <x:f>IFERROR((COUNTIFS(DATABASE_SURVEI!$C$2:$C$10000,TODAY(),DATABASE_SURVEI!$I$2:$I$10000,"SANGAT BAIK")+COUNTIFS(DATABASE_SURVEI!$C$2:$C$10000,TODAY(),DATABASE_SURVEI!$I$2:$I$10000,"BAIK"))/COUNTIFS(DATABASE_SURVEI!$C$2:$C$10000,TODAY()),0)</x:f>
        <x:v>0</x:v>
      </x:c>
      <x:c r="H6" s="66"/>
      <x:c r="I6" s="66"/>
      <x:c r="J6" s="76" t="n">
        <x:f>IFERROR(SUMIFS(DATABASE_SURVEI!$J$2:$J$10000,DATABASE_SURVEI!$C$2:$C$10000,TODAY())/COUNTIFS(DATABASE_SURVEI!$C$2:$C$10000,TODAY()),0)</x:f>
        <x:v>0</x:v>
      </x:c>
      <x:c r="K6" s="76"/>
      <x:c r="L6" s="76"/>
    </x:row>
    <x:row r="7">
      <x:c r="A7" s="54"/>
      <x:c r="B7" s="54"/>
      <x:c r="C7" s="54"/>
      <x:c r="D7" s="54"/>
      <x:c r="E7" s="54"/>
      <x:c r="F7" s="54"/>
      <x:c r="G7" s="66"/>
      <x:c r="H7" s="66"/>
      <x:c r="I7" s="66"/>
      <x:c r="J7" s="76"/>
      <x:c r="K7" s="76"/>
      <x:c r="L7" s="76"/>
    </x:row>
    <x:row r="8">
      <x:c r="A8" s="54"/>
      <x:c r="B8" s="54"/>
      <x:c r="C8" s="54"/>
      <x:c r="D8" s="54"/>
      <x:c r="E8" s="54"/>
      <x:c r="F8" s="54"/>
      <x:c r="G8" s="66"/>
      <x:c r="H8" s="66"/>
      <x:c r="I8" s="66"/>
      <x:c r="J8" s="76"/>
      <x:c r="K8" s="76"/>
      <x:c r="L8" s="76"/>
    </x:row>
    <x:row r="10">
      <x:c r="A10" s="4" t="str">
        <x:v>RINGKASAN HARI INI</x:v>
      </x:c>
      <x:c r="B10" s="4"/>
      <x:c r="C10" s="4"/>
    </x:row>
    <x:row r="11">
      <x:c r="A11" s="26" t="str">
        <x:v>Emot</x:v>
      </x:c>
      <x:c r="B11" s="26" t="str">
        <x:v>Kategori</x:v>
      </x:c>
      <x:c r="C11" s="26" t="str">
        <x:v>Jumlah</x:v>
      </x:c>
      <x:c r="H11" s="25" t="str">
        <x:v>Kategori</x:v>
      </x:c>
      <x:c r="I11" s="25" t="str">
        <x:v>Jumlah</x:v>
      </x:c>
    </x:row>
    <x:row r="12">
      <x:c r="A12" s="78" t="str">
        <x:v>😄</x:v>
      </x:c>
      <x:c r="B12" t="str">
        <x:v>SANGAT BAIK</x:v>
      </x:c>
      <x:c r="C12" t="n">
        <x:f>COUNTIFS(DATABASE_SURVEI!$C$2:$C$10000,TODAY(),DATABASE_SURVEI!$I$2:$I$10000,B12)</x:f>
        <x:v>0</x:v>
      </x:c>
      <x:c r="H12" t="str">
        <x:v>SANGAT BAIK</x:v>
      </x:c>
      <x:c r="I12" t="n">
        <x:f>COUNTIFS(DATABASE_SURVEI!$C$2:$C$10000,TODAY(),DATABASE_SURVEI!$I$2:$I$10000,H12)</x:f>
        <x:v>0</x:v>
      </x:c>
    </x:row>
    <x:row r="13">
      <x:c r="A13" s="78" t="str">
        <x:v>🙂</x:v>
      </x:c>
      <x:c r="B13" t="str">
        <x:v>BAIK</x:v>
      </x:c>
      <x:c r="C13" t="n">
        <x:f>COUNTIFS(DATABASE_SURVEI!$C$2:$C$10000,TODAY(),DATABASE_SURVEI!$I$2:$I$10000,B13)</x:f>
        <x:v>0</x:v>
      </x:c>
      <x:c r="H13" t="str">
        <x:v>BAIK</x:v>
      </x:c>
      <x:c r="I13" t="n">
        <x:f>COUNTIFS(DATABASE_SURVEI!$C$2:$C$10000,TODAY(),DATABASE_SURVEI!$I$2:$I$10000,H13)</x:f>
        <x:v>0</x:v>
      </x:c>
    </x:row>
    <x:row r="14">
      <x:c r="A14" s="78" t="str">
        <x:v>☹️</x:v>
      </x:c>
      <x:c r="B14" t="str">
        <x:v>BURUK</x:v>
      </x:c>
      <x:c r="C14" t="n">
        <x:f>COUNTIFS(DATABASE_SURVEI!$C$2:$C$10000,TODAY(),DATABASE_SURVEI!$I$2:$I$10000,B14)</x:f>
        <x:v>0</x:v>
      </x:c>
      <x:c r="H14" t="str">
        <x:v>BURUK</x:v>
      </x:c>
      <x:c r="I14" t="n">
        <x:f>COUNTIFS(DATABASE_SURVEI!$C$2:$C$10000,TODAY(),DATABASE_SURVEI!$I$2:$I$10000,H14)</x:f>
        <x:v>0</x:v>
      </x:c>
    </x:row>
    <x:row r="15">
      <x:c r="A15" s="78" t="str">
        <x:v>😡</x:v>
      </x:c>
      <x:c r="B15" t="str">
        <x:v>SANGAT BURUK</x:v>
      </x:c>
      <x:c r="C15" t="n">
        <x:f>COUNTIFS(DATABASE_SURVEI!$C$2:$C$10000,TODAY(),DATABASE_SURVEI!$I$2:$I$10000,B15)</x:f>
        <x:v>0</x:v>
      </x:c>
      <x:c r="H15" t="str">
        <x:v>SANGAT BURUK</x:v>
      </x:c>
      <x:c r="I15" t="n">
        <x:f>COUNTIFS(DATABASE_SURVEI!$C$2:$C$10000,TODAY(),DATABASE_SURVEI!$I$2:$I$10000,H15)</x:f>
        <x:v>0</x:v>
      </x:c>
    </x:row>
    <x:row r="17">
      <x:c r="A17" s="81" t="str">
        <x:v>TARGET &amp; ALERT</x:v>
      </x:c>
      <x:c r="B17" s="81"/>
      <x:c r="C17" s="81"/>
    </x:row>
    <x:row r="18">
      <x:c r="A18" s="25" t="str">
        <x:v>Indikator</x:v>
      </x:c>
      <x:c r="B18" s="25" t="str">
        <x:v>Nilai</x:v>
      </x:c>
    </x:row>
    <x:row r="19">
      <x:c r="A19" t="str">
        <x:v>Target Kepuasan</x:v>
      </x:c>
      <x:c r="B19" s="32" t="n">
        <x:f>PENGATURAN!B11</x:f>
        <x:v>0.95</x:v>
      </x:c>
    </x:row>
    <x:row r="20">
      <x:c r="A20" t="str">
        <x:v>Realisasi Hari Ini</x:v>
      </x:c>
      <x:c r="B20" s="32" t="n">
        <x:f>G6</x:f>
        <x:v>0</x:v>
      </x:c>
    </x:row>
    <x:row r="21">
      <x:c r="A21" t="str">
        <x:v>Buruk + Sangat Buruk</x:v>
      </x:c>
      <x:c r="B21" t="n">
        <x:f>C14+C15</x:f>
        <x:v>0</x:v>
      </x:c>
    </x:row>
  </x:sheetData>
  <x:mergeCells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10:C10"/>
    <x:mergeCell ref="A17:C17"/>
  </x:mergeCells>
  <x:conditionalFormatting sqref="B21:B21">
    <x:cfRule type="cellIs" dxfId="0" priority="1" operator="greaterThanOrEqual">
      <x:formula>5</x:formula>
    </x:cfRule>
  </x:conditionalFormatting>
  <x:conditionalFormatting sqref="B20:B20">
    <x:cfRule type="expression" dxfId="1" priority="2">
      <x:formula>B20&lt;B19</x:formula>
    </x:cfRule>
  </x:conditionalFormatting>
  <x:pageMargins left="0.7" right="0.7" top="0.75" bottom="0.75" header="0.3" footer="0.3"/>
  <x:drawing xmlns:r="http://schemas.openxmlformats.org/officeDocument/2006/relationships" r:id="Reddc11a635364e1a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1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0" hidden="0" customWidth="1"/>
    <x:col min="8" max="8" width="10" hidden="0" customWidth="1"/>
    <x:col min="9" max="9" width="18" hidden="0" customWidth="1"/>
    <x:col min="10" max="10" width="10" hidden="0" customWidth="1"/>
    <x:col min="11" max="11" width="16" hidden="0" customWidth="1"/>
    <x:col min="12" max="12" width="26" hidden="0" customWidth="1"/>
    <x:col min="13" max="13" width="20" hidden="0" customWidth="1"/>
    <x:col min="14" max="14" width="28" hidden="0" customWidth="1"/>
  </x:cols>
  <x:sheetData>
    <x:row r="1">
      <x:c r="A1" s="5" t="str">
        <x:v>No</x:v>
      </x:c>
      <x:c r="B1" s="10" t="str">
        <x:v>Timestamp</x:v>
      </x:c>
      <x:c r="C1" s="12" t="str">
        <x:v>Tanggal</x:v>
      </x:c>
      <x:c r="D1" s="14" t="str">
        <x:v>Waktu</x:v>
      </x:c>
      <x:c r="E1" s="5" t="str">
        <x:v>Hari</x:v>
      </x:c>
      <x:c r="F1" s="5" t="str">
        <x:v>Bulan</x:v>
      </x:c>
      <x:c r="G1" s="5" t="str">
        <x:v>Tahun</x:v>
      </x:c>
      <x:c r="H1" s="5" t="str">
        <x:v>Rating</x:v>
      </x:c>
      <x:c r="I1" s="5" t="str">
        <x:v>Kategori</x:v>
      </x:c>
      <x:c r="J1" s="5" t="str">
        <x:v>Skor</x:v>
      </x:c>
      <x:c r="K1" s="5" t="str">
        <x:v>Device</x:v>
      </x:c>
      <x:c r="L1" s="5" t="str">
        <x:v>Lokasi</x:v>
      </x:c>
      <x:c r="M1" s="5" t="str">
        <x:v>Loket</x:v>
      </x:c>
      <x:c r="N1" s="5" t="str">
        <x:v>Sync 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100" t="str">
        <x:v>REKAP KEPUASAN HARIAN</x:v>
      </x:c>
      <x:c r="B1" s="86"/>
      <x:c r="C1" s="86"/>
      <x:c r="D1" s="86"/>
      <x:c r="E1" s="86"/>
      <x:c r="F1" s="86"/>
      <x:c r="G1" s="102"/>
      <x:c r="H1" s="104"/>
    </x:row>
    <x:row r="2">
      <x:c r="A2" s="86"/>
      <x:c r="B2" s="86"/>
      <x:c r="C2" s="86"/>
      <x:c r="D2" s="86"/>
      <x:c r="E2" s="86"/>
      <x:c r="F2" s="86"/>
      <x:c r="G2" s="86"/>
      <x:c r="H2" s="86"/>
    </x:row>
    <x:row r="4">
      <x:c r="A4" s="92" t="str">
        <x:v>Tanggal</x:v>
      </x:c>
      <x:c r="B4" s="92" t="str">
        <x:v>Sangat Baik</x:v>
      </x:c>
      <x:c r="C4" s="92" t="str">
        <x:v>Baik</x:v>
      </x:c>
      <x:c r="D4" s="92" t="str">
        <x:v>Buruk</x:v>
      </x:c>
      <x:c r="E4" s="92" t="str">
        <x:v>Sangat Buruk</x:v>
      </x:c>
      <x:c r="F4" s="92" t="str">
        <x:v>Total Responden</x:v>
      </x:c>
      <x:c r="G4" s="92" t="str">
        <x:v>Nilai Rata-rata</x:v>
      </x:c>
      <x:c r="H4" s="92" t="str">
        <x:v>Persentase Kepuasan</x:v>
      </x:c>
    </x:row>
    <x:row r="6">
      <x:c r="A6" s="97" t="str">
        <x:v>Rekap diisi otomatis oleh Google Apps Script setelah data survei masuk.</x:v>
      </x:c>
    </x:row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86" t="str">
        <x:v>REKAP KEPUASAN BULANAN</x:v>
      </x:c>
      <x:c r="B1" s="86"/>
      <x:c r="C1" s="86"/>
      <x:c r="D1" s="86"/>
      <x:c r="E1" s="86"/>
      <x:c r="F1" s="86"/>
      <x:c r="G1" s="86"/>
      <x:c r="H1" s="102"/>
      <x:c r="I1" s="104"/>
    </x:row>
    <x:row r="2">
      <x:c r="A2" s="86"/>
      <x:c r="B2" s="86"/>
      <x:c r="C2" s="86"/>
      <x:c r="D2" s="86"/>
      <x:c r="E2" s="86"/>
      <x:c r="F2" s="86"/>
      <x:c r="G2" s="86"/>
      <x:c r="H2" s="86"/>
      <x:c r="I2" s="86"/>
    </x:row>
    <x:row r="4">
      <x:c r="A4" s="92" t="str">
        <x:v>Bulan</x:v>
      </x:c>
      <x:c r="B4" s="92" t="str">
        <x:v>Tahun</x:v>
      </x:c>
      <x:c r="C4" s="92" t="str">
        <x:v>Sangat Baik</x:v>
      </x:c>
      <x:c r="D4" s="92" t="str">
        <x:v>Baik</x:v>
      </x:c>
      <x:c r="E4" s="92" t="str">
        <x:v>Buruk</x:v>
      </x:c>
      <x:c r="F4" s="92" t="str">
        <x:v>Sangat Buruk</x:v>
      </x:c>
      <x:c r="G4" s="92" t="str">
        <x:v>Total Responden</x:v>
      </x:c>
      <x:c r="H4" s="92" t="str">
        <x:v>Nilai Rata-rata</x:v>
      </x:c>
      <x:c r="I4" s="92" t="str">
        <x:v>Persentase Kepuasan</x:v>
      </x:c>
    </x:row>
    <x:row r="6">
      <x:c r="A6" s="97" t="str">
        <x:v>Rekap diisi otomatis oleh Google Apps Script setelah data survei masuk.</x:v>
      </x:c>
    </x:row>
  </x:sheetData>
  <x:mergeCells>
    <x:mergeCell ref="A1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86" t="str">
        <x:v>REKAP KEPUASAN TAHUNAN</x:v>
      </x:c>
      <x:c r="B1" s="86"/>
      <x:c r="C1" s="86"/>
      <x:c r="D1" s="86"/>
      <x:c r="E1" s="86"/>
      <x:c r="F1" s="86"/>
      <x:c r="G1" s="102"/>
      <x:c r="H1" s="104"/>
    </x:row>
    <x:row r="2">
      <x:c r="A2" s="86"/>
      <x:c r="B2" s="86"/>
      <x:c r="C2" s="86"/>
      <x:c r="D2" s="86"/>
      <x:c r="E2" s="86"/>
      <x:c r="F2" s="86"/>
      <x:c r="G2" s="86"/>
      <x:c r="H2" s="86"/>
    </x:row>
    <x:row r="4">
      <x:c r="A4" s="92" t="str">
        <x:v>Tahun</x:v>
      </x:c>
      <x:c r="B4" s="92" t="str">
        <x:v>Sangat Baik</x:v>
      </x:c>
      <x:c r="C4" s="92" t="str">
        <x:v>Baik</x:v>
      </x:c>
      <x:c r="D4" s="92" t="str">
        <x:v>Buruk</x:v>
      </x:c>
      <x:c r="E4" s="92" t="str">
        <x:v>Sangat Buruk</x:v>
      </x:c>
      <x:c r="F4" s="92" t="str">
        <x:v>Total Responden</x:v>
      </x:c>
      <x:c r="G4" s="92" t="str">
        <x:v>Nilai Rata-rata</x:v>
      </x:c>
      <x:c r="H4" s="92" t="str">
        <x:v>Persentase Kepuasan</x:v>
      </x:c>
    </x:row>
    <x:row r="6">
      <x:c r="A6" s="97" t="str">
        <x:v>Rekap diisi otomatis oleh Google Apps Script setelah data survei masuk.</x:v>
      </x:c>
    </x:row>
  </x:sheetData>
  <x:mergeCells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4" max="4" width="20" hidden="0" customWidth="1"/>
    <x:col min="5" max="5" width="20" hidden="0" customWidth="1"/>
  </x:cols>
  <x:sheetData>
    <x:row r="1">
      <x:c r="A1" s="19" t="str">
        <x:v>PENGATURAN APLIKASI KEPUASAN PELANGGAN</x:v>
      </x:c>
      <x:c r="B1" s="19"/>
      <x:c r="C1" s="19"/>
      <x:c r="D1" s="19"/>
      <x:c r="E1" s="19"/>
    </x:row>
    <x:row r="2">
      <x:c r="A2" s="19"/>
      <x:c r="B2" s="19"/>
      <x:c r="C2" s="19"/>
      <x:c r="D2" s="19"/>
      <x:c r="E2" s="19"/>
    </x:row>
    <x:row r="4">
      <x:c r="A4" s="26" t="str">
        <x:v>Parameter</x:v>
      </x:c>
      <x:c r="B4" s="26" t="str">
        <x:v>Nilai</x:v>
      </x:c>
      <x:c r="D4" s="4" t="str">
        <x:v>Kategori</x:v>
      </x:c>
      <x:c r="E4" s="4" t="str">
        <x:v>Skor</x:v>
      </x:c>
    </x:row>
    <x:row r="5">
      <x:c r="A5" s="30" t="str">
        <x:v>Nama Unit</x:v>
      </x:c>
      <x:c r="B5" t="str">
        <x:v>PLN ULP Tanjung Redeb</x:v>
      </x:c>
      <x:c r="D5" t="str">
        <x:v>SANGAT BAIK</x:v>
      </x:c>
      <x:c r="E5" t="n">
        <x:v>4</x:v>
      </x:c>
    </x:row>
    <x:row r="6">
      <x:c r="A6" s="30" t="str">
        <x:v>Lokasi</x:v>
      </x:c>
      <x:c r="B6" t="str">
        <x:v>Kantor PLN ULP Tanjung Redeb</x:v>
      </x:c>
      <x:c r="D6" t="str">
        <x:v>BAIK</x:v>
      </x:c>
      <x:c r="E6" t="n">
        <x:v>3</x:v>
      </x:c>
    </x:row>
    <x:row r="7">
      <x:c r="A7" s="30" t="str">
        <x:v>Device ID</x:v>
      </x:c>
      <x:c r="B7" t="str">
        <x:v>TABLET-01</x:v>
      </x:c>
      <x:c r="D7" t="str">
        <x:v>BURUK</x:v>
      </x:c>
      <x:c r="E7" t="n">
        <x:v>2</x:v>
      </x:c>
    </x:row>
    <x:row r="8">
      <x:c r="A8" s="30" t="str">
        <x:v>Nama Loket</x:v>
      </x:c>
      <x:c r="B8" t="str">
        <x:v>Ruang Pelayanan</x:v>
      </x:c>
      <x:c r="D8" t="str">
        <x:v>SANGAT BURUK</x:v>
      </x:c>
      <x:c r="E8" t="n">
        <x:v>1</x:v>
      </x:c>
    </x:row>
    <x:row r="9">
      <x:c r="A9" s="30" t="str">
        <x:v>Judul Survei</x:v>
      </x:c>
      <x:c r="B9" t="str">
        <x:v>Bagaimana Pelayanan Kami Hari Ini?</x:v>
      </x:c>
    </x:row>
    <x:row r="10">
      <x:c r="A10" s="30" t="str">
        <x:v>Status Aplikasi</x:v>
      </x:c>
      <x:c r="B10" t="str">
        <x:v>AKTIF</x:v>
      </x:c>
    </x:row>
    <x:row r="11">
      <x:c r="A11" s="30" t="str">
        <x:v>Target Kepuasan</x:v>
      </x:c>
      <x:c r="B11" s="32" t="n">
        <x:v>0.95</x:v>
      </x:c>
    </x:row>
    <x:row r="12">
      <x:c r="A12" s="30" t="str">
        <x:v>Jam Buka</x:v>
      </x:c>
      <x:c r="B12" t="str">
        <x:v>08:00</x:v>
      </x:c>
    </x:row>
    <x:row r="13">
      <x:c r="A13" s="30" t="str">
        <x:v>Jam Tutup</x:v>
      </x:c>
      <x:c r="B13" t="str">
        <x:v>16:00</x:v>
      </x:c>
    </x:row>
  </x:sheetData>
  <x:mergeCells>
    <x:mergeCell ref="A1:E2"/>
  </x:mergeCells>
  <x:pageMargins left="0.7" right="0.7" top="0.75" bottom="0.75" header="0.3" footer="0.3"/>
</x:worksheet>
</file>